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rmula Documentation" sheetId="1" state="visible" r:id="rId3"/>
    <sheet name="Live Formula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<sst xmlns="http://schemas.openxmlformats.org/spreadsheetml/2006/main" count="152" uniqueCount="127">
  <si>
    <t xml:space="preserve">VANGUARD: Retail Intelligence &amp; Revenue Attribution Engine</t>
  </si>
  <si>
    <t xml:space="preserve">Advanced Excel Formulas - Technical Documentation</t>
  </si>
  <si>
    <t xml:space="preserve">Formula #</t>
  </si>
  <si>
    <t xml:space="preserve">Formula Name</t>
  </si>
  <si>
    <t xml:space="preserve">Excel Formula Pattern</t>
  </si>
  <si>
    <t xml:space="preserve">Business Purpose</t>
  </si>
  <si>
    <t xml:space="preserve">Customer Lifetime Value (CLV) Proxy</t>
  </si>
  <si>
    <t xml:space="preserve">'=AVERAGE(TransactionRange)*COUNTIF(CustomerRange,CustomerID)</t>
  </si>
  <si>
    <t xml:space="preserve">Estimates total revenue potential per customer by multiplying average transaction value by purchase frequency</t>
  </si>
  <si>
    <t xml:space="preserve">Revenue Velocity</t>
  </si>
  <si>
    <t xml:space="preserve">'=(CurrentMonthRevenue-PreviousMonthRevenue)/PreviousMonthRevenue</t>
  </si>
  <si>
    <t xml:space="preserve">Measures month-over-month revenue growth rate to identify acceleration or deceleration trends</t>
  </si>
  <si>
    <t xml:space="preserve">Category Concentration Ratio</t>
  </si>
  <si>
    <t xml:space="preserve">'=SUMIF(CategoryRange,Top3Categories,RevenueRange)/SUM(RevenueRange)</t>
  </si>
  <si>
    <t xml:space="preserve">Calculates dependency on top revenue-generating categories; high concentration = portfolio risk</t>
  </si>
  <si>
    <t xml:space="preserve">Price Elasticity Indicator</t>
  </si>
  <si>
    <t xml:space="preserve">'=CORREL(PriceRange,VolumeRange)</t>
  </si>
  <si>
    <t xml:space="preserve">Measures correlation between price changes and sales volume; negative = elastic demand</t>
  </si>
  <si>
    <t xml:space="preserve">Contribution Margin per SKU</t>
  </si>
  <si>
    <t xml:space="preserve">'=(Revenue-VariableCosts)/Revenue</t>
  </si>
  <si>
    <t xml:space="preserve">Calculates profitability per product after variable costs; identifies high-margin winners</t>
  </si>
  <si>
    <t xml:space="preserve">Inventory Turnover Ratio</t>
  </si>
  <si>
    <t xml:space="preserve">'=COGS/AVERAGE(InventoryRange)</t>
  </si>
  <si>
    <t xml:space="preserve">Measures how quickly inventory converts to sales; higher = better working capital efficiency</t>
  </si>
  <si>
    <t xml:space="preserve">Basket Penetration Rate</t>
  </si>
  <si>
    <t xml:space="preserve">'=COUNTIFS(TransactionRange,Category)/COUNTA(TransactionRange)</t>
  </si>
  <si>
    <t xml:space="preserve">% of transactions containing a specific category; identifies cross-sell opportunities</t>
  </si>
  <si>
    <t xml:space="preserve">Revenue per Transaction</t>
  </si>
  <si>
    <t xml:space="preserve">'=SUMIFS(RevenueRange,DateRange,Criteria)/COUNTIFS(DateRange,Criteria)</t>
  </si>
  <si>
    <t xml:space="preserve">Average order value over specific period; tracks pricing power and upsell effectiveness</t>
  </si>
  <si>
    <t xml:space="preserve">Customer Acquisition Efficiency</t>
  </si>
  <si>
    <t xml:space="preserve">'=TotalNewCustomerRevenue/MarketingSpend</t>
  </si>
  <si>
    <t xml:space="preserve">Revenue generated per dollar spent acquiring new customers; measures CAC effectiveness</t>
  </si>
  <si>
    <t xml:space="preserve">Seasonal Index</t>
  </si>
  <si>
    <t xml:space="preserve">'=PeriodRevenue/AVERAGE(AnnualRevenueRange)*12</t>
  </si>
  <si>
    <t xml:space="preserve">Compares period performance to annual average; values &gt;12 indicate peak season</t>
  </si>
  <si>
    <t xml:space="preserve">Transaction ID</t>
  </si>
  <si>
    <t xml:space="preserve">Customer ID</t>
  </si>
  <si>
    <t xml:space="preserve">Product Category</t>
  </si>
  <si>
    <t xml:space="preserve">Product SKU</t>
  </si>
  <si>
    <t xml:space="preserve">Transaction Date</t>
  </si>
  <si>
    <t xml:space="preserve">Unit Price</t>
  </si>
  <si>
    <t xml:space="preserve">Quantity</t>
  </si>
  <si>
    <t xml:space="preserve">Revenue</t>
  </si>
  <si>
    <t xml:space="preserve">Variable Cost</t>
  </si>
  <si>
    <t xml:space="preserve">COGS</t>
  </si>
  <si>
    <t xml:space="preserve">Marketing Spend</t>
  </si>
  <si>
    <t xml:space="preserve">TXN001</t>
  </si>
  <si>
    <t xml:space="preserve">CUST001</t>
  </si>
  <si>
    <t xml:space="preserve">Electronics</t>
  </si>
  <si>
    <t xml:space="preserve">SKU001</t>
  </si>
  <si>
    <t xml:space="preserve">2025-01-15</t>
  </si>
  <si>
    <t xml:space="preserve">TXN002</t>
  </si>
  <si>
    <t xml:space="preserve">CUST002</t>
  </si>
  <si>
    <t xml:space="preserve">Clothing</t>
  </si>
  <si>
    <t xml:space="preserve">SKU002</t>
  </si>
  <si>
    <t xml:space="preserve">2025-01-16</t>
  </si>
  <si>
    <t xml:space="preserve">TXN003</t>
  </si>
  <si>
    <t xml:space="preserve">SKU003</t>
  </si>
  <si>
    <t xml:space="preserve">2025-01-17</t>
  </si>
  <si>
    <t xml:space="preserve">TXN004</t>
  </si>
  <si>
    <t xml:space="preserve">CUST003</t>
  </si>
  <si>
    <t xml:space="preserve">Home &amp; Garden</t>
  </si>
  <si>
    <t xml:space="preserve">SKU004</t>
  </si>
  <si>
    <t xml:space="preserve">2025-01-18</t>
  </si>
  <si>
    <t xml:space="preserve">TXN005</t>
  </si>
  <si>
    <t xml:space="preserve">2025-01-19</t>
  </si>
  <si>
    <t xml:space="preserve">TXN006</t>
  </si>
  <si>
    <t xml:space="preserve">CUST004</t>
  </si>
  <si>
    <t xml:space="preserve">SKU005</t>
  </si>
  <si>
    <t xml:space="preserve">2025-01-20</t>
  </si>
  <si>
    <t xml:space="preserve">TXN007</t>
  </si>
  <si>
    <t xml:space="preserve">CUST005</t>
  </si>
  <si>
    <t xml:space="preserve">2025-01-21</t>
  </si>
  <si>
    <t xml:space="preserve">TXN008</t>
  </si>
  <si>
    <t xml:space="preserve">SKU006</t>
  </si>
  <si>
    <t xml:space="preserve">2025-01-22</t>
  </si>
  <si>
    <t xml:space="preserve">TXN009</t>
  </si>
  <si>
    <t xml:space="preserve">CUST006</t>
  </si>
  <si>
    <t xml:space="preserve">2025-01-23</t>
  </si>
  <si>
    <t xml:space="preserve">TXN010</t>
  </si>
  <si>
    <t xml:space="preserve">2025-01-24</t>
  </si>
  <si>
    <t xml:space="preserve">TXN011</t>
  </si>
  <si>
    <t xml:space="preserve">CUST007</t>
  </si>
  <si>
    <t xml:space="preserve">SKU007</t>
  </si>
  <si>
    <t xml:space="preserve">2025-02-01</t>
  </si>
  <si>
    <t xml:space="preserve">TXN012</t>
  </si>
  <si>
    <t xml:space="preserve">SKU008</t>
  </si>
  <si>
    <t xml:space="preserve">2025-02-02</t>
  </si>
  <si>
    <t xml:space="preserve">TXN013</t>
  </si>
  <si>
    <t xml:space="preserve">CUST008</t>
  </si>
  <si>
    <t xml:space="preserve">2025-02-03</t>
  </si>
  <si>
    <t xml:space="preserve">TXN014</t>
  </si>
  <si>
    <t xml:space="preserve">2025-02-04</t>
  </si>
  <si>
    <t xml:space="preserve">TXN015</t>
  </si>
  <si>
    <t xml:space="preserve">CUST009</t>
  </si>
  <si>
    <t xml:space="preserve">2025-02-05</t>
  </si>
  <si>
    <t xml:space="preserve">KPI DASHBOARD</t>
  </si>
  <si>
    <t xml:space="preserve">KPI Name</t>
  </si>
  <si>
    <t xml:space="preserve">Formula Pattern (Documentation)</t>
  </si>
  <si>
    <t xml:space="preserve">Calculated Value</t>
  </si>
  <si>
    <t xml:space="preserve">1. Customer Lifetime Value - CUST001</t>
  </si>
  <si>
    <t xml:space="preserve">AVERAGE(Revenue) × COUNTIF(Customers,ID)</t>
  </si>
  <si>
    <t xml:space="preserve">2. Revenue Velocity (Jan to Feb)</t>
  </si>
  <si>
    <t xml:space="preserve">(Feb Revenue - Jan Revenue) / Jan Revenue</t>
  </si>
  <si>
    <t xml:space="preserve">3. Category Concentration - Electronics</t>
  </si>
  <si>
    <t xml:space="preserve">Electronics Revenue / Total Revenue</t>
  </si>
  <si>
    <t xml:space="preserve">4. Price Elasticity</t>
  </si>
  <si>
    <t xml:space="preserve">CORREL(Price, Quantity)</t>
  </si>
  <si>
    <t xml:space="preserve">5. Avg Contribution Margin</t>
  </si>
  <si>
    <t xml:space="preserve">AVG((Revenue - Variable Cost) / Revenue)</t>
  </si>
  <si>
    <t xml:space="preserve">6. Inventory Turnover Ratio</t>
  </si>
  <si>
    <t xml:space="preserve">Total COGS / Average Inventory</t>
  </si>
  <si>
    <t xml:space="preserve">7. Electronics Penetration Rate</t>
  </si>
  <si>
    <t xml:space="preserve">Electronics Transactions / Total Transactions</t>
  </si>
  <si>
    <t xml:space="preserve">8. Revenue per Transaction</t>
  </si>
  <si>
    <t xml:space="preserve">Total Revenue / Transaction Count</t>
  </si>
  <si>
    <t xml:space="preserve">9. Marketing ROI</t>
  </si>
  <si>
    <t xml:space="preserve">Total Revenue / Marketing Spend</t>
  </si>
  <si>
    <t xml:space="preserve">10. Seasonal Index (February)</t>
  </si>
  <si>
    <t xml:space="preserve">(Feb Revenue / (Total / 2)) × 12</t>
  </si>
  <si>
    <t xml:space="preserve">STRATEGIC INSIGHTS</t>
  </si>
  <si>
    <t xml:space="preserve">• High CLV for CUST001 indicates retention success - prioritize similar customer profiles</t>
  </si>
  <si>
    <t xml:space="preserve">• Positive Revenue Velocity shows growth acceleration - maintain momentum with inventory</t>
  </si>
  <si>
    <t xml:space="preserve">• Electronics category concentration suggests diversification opportunity to reduce risk</t>
  </si>
  <si>
    <t xml:space="preserve">• Negative price elasticity coefficient guides dynamic pricing strategy optimization</t>
  </si>
  <si>
    <t xml:space="preserve">• Contribution margins identify which SKUs drive profitability vs volume plays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</si>
</sst>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0;&quot;($&quot;#,##0.00\);\-"/>
    <numFmt numFmtId="166" formatCode="#,##0.00;\(#,##0.00\);\-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color rgb="FF007B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9"/>
      <color rgb="FF0000FF"/>
      <name val="Courier New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B0E14"/>
        <bgColor rgb="FF000000"/>
      </patternFill>
    </fill>
    <fill>
      <patternFill patternType="solid">
        <fgColor rgb="FF007BFF"/>
        <bgColor rgb="FF3366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7BFF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B0E14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5"/>
    <col collapsed="false" customWidth="true" hidden="false" outlineLevel="0" max="3" min="3" style="0" width="80"/>
    <col collapsed="false" customWidth="true" hidden="false" outlineLevel="0" max="4" min="4" style="0" width="90"/>
  </cols>
  <sheetData>
    <row r="1" customFormat="false" ht="142.5" hidden="false" customHeight="false" outlineLevel="0" collapsed="false">
      <c r="A1" s="1" t="s">
        <v>0</v>
      </c>
      <c r="B1" s="1"/>
      <c r="C1" s="1"/>
      <c r="D1" s="1"/>
    </row>
    <row r="2" customFormat="false" ht="77.6" hidden="false" customHeight="false" outlineLevel="0" collapsed="false">
      <c r="A2" s="2" t="s">
        <v>1</v>
      </c>
      <c r="B2" s="2"/>
      <c r="C2" s="2"/>
      <c r="D2" s="2"/>
    </row>
    <row r="3" customFormat="false" ht="15" hidden="false" customHeight="false" outlineLevel="0" collapsed="false">
      <c r="A3" s="3"/>
      <c r="B3" s="3"/>
      <c r="C3" s="3"/>
      <c r="D3" s="3"/>
    </row>
    <row r="4" customFormat="false" ht="15" hidden="false" customHeight="false" outlineLevel="0" collapsed="false">
      <c r="A4" s="4" t="s">
        <v>2</v>
      </c>
      <c r="B4" s="4" t="s">
        <v>3</v>
      </c>
      <c r="C4" s="4" t="s">
        <v>4</v>
      </c>
      <c r="D4" s="4" t="s">
        <v>5</v>
      </c>
    </row>
    <row r="5" customFormat="false" ht="15" hidden="false" customHeight="false" outlineLevel="0" collapsed="false">
      <c r="A5" s="3" t="n">
        <v>1</v>
      </c>
      <c r="B5" s="3" t="s">
        <v>6</v>
      </c>
      <c r="C5" s="3" t="s">
        <v>7</v>
      </c>
      <c r="D5" s="3" t="s">
        <v>8</v>
      </c>
    </row>
    <row r="6" customFormat="false" ht="15" hidden="false" customHeight="false" outlineLevel="0" collapsed="false">
      <c r="A6" s="3" t="n">
        <v>2</v>
      </c>
      <c r="B6" s="3" t="s">
        <v>9</v>
      </c>
      <c r="C6" s="3" t="s">
        <v>10</v>
      </c>
      <c r="D6" s="3" t="s">
        <v>11</v>
      </c>
    </row>
    <row r="7" customFormat="false" ht="15" hidden="false" customHeight="false" outlineLevel="0" collapsed="false">
      <c r="A7" s="3" t="n">
        <v>3</v>
      </c>
      <c r="B7" s="3" t="s">
        <v>12</v>
      </c>
      <c r="C7" s="3" t="s">
        <v>13</v>
      </c>
      <c r="D7" s="3" t="s">
        <v>14</v>
      </c>
    </row>
    <row r="8" customFormat="false" ht="15" hidden="false" customHeight="false" outlineLevel="0" collapsed="false">
      <c r="A8" s="3" t="n">
        <v>4</v>
      </c>
      <c r="B8" s="3" t="s">
        <v>15</v>
      </c>
      <c r="C8" s="3" t="s">
        <v>16</v>
      </c>
      <c r="D8" s="3" t="s">
        <v>17</v>
      </c>
    </row>
    <row r="9" customFormat="false" ht="15" hidden="false" customHeight="false" outlineLevel="0" collapsed="false">
      <c r="A9" s="3" t="n">
        <v>5</v>
      </c>
      <c r="B9" s="3" t="s">
        <v>18</v>
      </c>
      <c r="C9" s="3" t="s">
        <v>19</v>
      </c>
      <c r="D9" s="3" t="s">
        <v>20</v>
      </c>
    </row>
    <row r="10" customFormat="false" ht="15" hidden="false" customHeight="false" outlineLevel="0" collapsed="false">
      <c r="A10" s="3" t="n">
        <v>6</v>
      </c>
      <c r="B10" s="3" t="s">
        <v>21</v>
      </c>
      <c r="C10" s="3" t="s">
        <v>22</v>
      </c>
      <c r="D10" s="3" t="s">
        <v>23</v>
      </c>
    </row>
    <row r="11" customFormat="false" ht="15" hidden="false" customHeight="false" outlineLevel="0" collapsed="false">
      <c r="A11" s="3" t="n">
        <v>7</v>
      </c>
      <c r="B11" s="3" t="s">
        <v>24</v>
      </c>
      <c r="C11" s="3" t="s">
        <v>25</v>
      </c>
      <c r="D11" s="3" t="s">
        <v>26</v>
      </c>
    </row>
    <row r="12" customFormat="false" ht="15" hidden="false" customHeight="false" outlineLevel="0" collapsed="false">
      <c r="A12" s="3" t="n">
        <v>8</v>
      </c>
      <c r="B12" s="3" t="s">
        <v>27</v>
      </c>
      <c r="C12" s="3" t="s">
        <v>28</v>
      </c>
      <c r="D12" s="3" t="s">
        <v>29</v>
      </c>
    </row>
    <row r="13" customFormat="false" ht="15" hidden="false" customHeight="false" outlineLevel="0" collapsed="false">
      <c r="A13" s="3" t="n">
        <v>9</v>
      </c>
      <c r="B13" s="3" t="s">
        <v>30</v>
      </c>
      <c r="C13" s="3" t="s">
        <v>31</v>
      </c>
      <c r="D13" s="3" t="s">
        <v>32</v>
      </c>
    </row>
    <row r="14" customFormat="false" ht="15" hidden="false" customHeight="false" outlineLevel="0" collapsed="false">
      <c r="A14" s="3" t="n">
        <v>10</v>
      </c>
      <c r="B14" s="3" t="s">
        <v>33</v>
      </c>
      <c r="C14" s="3" t="s">
        <v>34</v>
      </c>
      <c r="D14" s="3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50"/>
    <col collapsed="false" customWidth="true" hidden="false" outlineLevel="0" max="3" min="3" style="0" width="20"/>
    <col collapsed="false" customWidth="true" hidden="false" outlineLevel="0" max="11" min="4" style="0" width="15"/>
  </cols>
  <sheetData>
    <row r="1" customFormat="false" ht="15" hidden="false" customHeight="false" outlineLevel="0" collapsed="false">
      <c r="A1" s="5" t="s">
        <v>36</v>
      </c>
      <c r="B1" s="5" t="s">
        <v>37</v>
      </c>
      <c r="C1" s="5" t="s">
        <v>38</v>
      </c>
      <c r="D1" s="5" t="s">
        <v>39</v>
      </c>
      <c r="E1" s="5" t="s">
        <v>40</v>
      </c>
      <c r="F1" s="5" t="s">
        <v>41</v>
      </c>
      <c r="G1" s="5" t="s">
        <v>42</v>
      </c>
      <c r="H1" s="5" t="s">
        <v>43</v>
      </c>
      <c r="I1" s="5" t="s">
        <v>44</v>
      </c>
      <c r="J1" s="5" t="s">
        <v>45</v>
      </c>
      <c r="K1" s="5" t="s">
        <v>46</v>
      </c>
    </row>
    <row r="2" customFormat="false" ht="15" hidden="false" customHeight="false" outlineLevel="0" collapsed="false">
      <c r="A2" s="0" t="s">
        <v>47</v>
      </c>
      <c r="B2" s="0" t="s">
        <v>48</v>
      </c>
      <c r="C2" s="0" t="s">
        <v>49</v>
      </c>
      <c r="D2" s="0" t="s">
        <v>50</v>
      </c>
      <c r="E2" s="0" t="s">
        <v>51</v>
      </c>
      <c r="F2" s="6" t="n">
        <v>299.99</v>
      </c>
      <c r="G2" s="0" t="n">
        <v>2</v>
      </c>
      <c r="H2" s="6" t="n">
        <f aca="false">F2*G2</f>
        <v>599.98</v>
      </c>
      <c r="I2" s="6" t="n">
        <f aca="false">H2*0.4</f>
        <v>239.992</v>
      </c>
      <c r="J2" s="6" t="n">
        <v>240</v>
      </c>
      <c r="K2" s="6" t="n">
        <v>150</v>
      </c>
    </row>
    <row r="3" customFormat="false" ht="15" hidden="false" customHeight="false" outlineLevel="0" collapsed="false">
      <c r="A3" s="0" t="s">
        <v>52</v>
      </c>
      <c r="B3" s="0" t="s">
        <v>53</v>
      </c>
      <c r="C3" s="0" t="s">
        <v>54</v>
      </c>
      <c r="D3" s="0" t="s">
        <v>55</v>
      </c>
      <c r="E3" s="0" t="s">
        <v>56</v>
      </c>
      <c r="F3" s="6" t="n">
        <v>49.99</v>
      </c>
      <c r="G3" s="0" t="n">
        <v>3</v>
      </c>
      <c r="H3" s="6" t="n">
        <f aca="false">F3*G3</f>
        <v>149.97</v>
      </c>
      <c r="I3" s="6" t="n">
        <f aca="false">H3*0.35</f>
        <v>52.4895</v>
      </c>
      <c r="J3" s="6" t="n">
        <v>52</v>
      </c>
      <c r="K3" s="6" t="n">
        <v>200</v>
      </c>
    </row>
    <row r="4" customFormat="false" ht="15" hidden="false" customHeight="false" outlineLevel="0" collapsed="false">
      <c r="A4" s="0" t="s">
        <v>57</v>
      </c>
      <c r="B4" s="0" t="s">
        <v>48</v>
      </c>
      <c r="C4" s="0" t="s">
        <v>49</v>
      </c>
      <c r="D4" s="0" t="s">
        <v>58</v>
      </c>
      <c r="E4" s="0" t="s">
        <v>59</v>
      </c>
      <c r="F4" s="6" t="n">
        <v>149.99</v>
      </c>
      <c r="G4" s="0" t="n">
        <v>1</v>
      </c>
      <c r="H4" s="6" t="n">
        <f aca="false">F4*G4</f>
        <v>149.99</v>
      </c>
      <c r="I4" s="6" t="n">
        <f aca="false">H4*0.45</f>
        <v>67.4955</v>
      </c>
      <c r="J4" s="6" t="n">
        <v>67</v>
      </c>
      <c r="K4" s="6" t="n">
        <v>150</v>
      </c>
    </row>
    <row r="5" customFormat="false" ht="15" hidden="false" customHeight="false" outlineLevel="0" collapsed="false">
      <c r="A5" s="0" t="s">
        <v>60</v>
      </c>
      <c r="B5" s="0" t="s">
        <v>61</v>
      </c>
      <c r="C5" s="0" t="s">
        <v>62</v>
      </c>
      <c r="D5" s="0" t="s">
        <v>63</v>
      </c>
      <c r="E5" s="0" t="s">
        <v>64</v>
      </c>
      <c r="F5" s="6" t="n">
        <v>89.99</v>
      </c>
      <c r="G5" s="0" t="n">
        <v>2</v>
      </c>
      <c r="H5" s="6" t="n">
        <f aca="false">F5*G5</f>
        <v>179.98</v>
      </c>
      <c r="I5" s="6" t="n">
        <f aca="false">H5*0.38</f>
        <v>68.3924</v>
      </c>
      <c r="J5" s="6" t="n">
        <v>68</v>
      </c>
      <c r="K5" s="6" t="n">
        <v>180</v>
      </c>
    </row>
    <row r="6" customFormat="false" ht="15" hidden="false" customHeight="false" outlineLevel="0" collapsed="false">
      <c r="A6" s="0" t="s">
        <v>65</v>
      </c>
      <c r="B6" s="0" t="s">
        <v>53</v>
      </c>
      <c r="C6" s="0" t="s">
        <v>49</v>
      </c>
      <c r="D6" s="0" t="s">
        <v>50</v>
      </c>
      <c r="E6" s="0" t="s">
        <v>66</v>
      </c>
      <c r="F6" s="6" t="n">
        <v>299.99</v>
      </c>
      <c r="G6" s="0" t="n">
        <v>1</v>
      </c>
      <c r="H6" s="6" t="n">
        <f aca="false">F6*G6</f>
        <v>299.99</v>
      </c>
      <c r="I6" s="6" t="n">
        <f aca="false">H6*0.4</f>
        <v>119.996</v>
      </c>
      <c r="J6" s="6" t="n">
        <v>120</v>
      </c>
      <c r="K6" s="6" t="n">
        <v>200</v>
      </c>
    </row>
    <row r="7" customFormat="false" ht="15" hidden="false" customHeight="false" outlineLevel="0" collapsed="false">
      <c r="A7" s="0" t="s">
        <v>67</v>
      </c>
      <c r="B7" s="0" t="s">
        <v>68</v>
      </c>
      <c r="C7" s="0" t="s">
        <v>54</v>
      </c>
      <c r="D7" s="0" t="s">
        <v>69</v>
      </c>
      <c r="E7" s="0" t="s">
        <v>70</v>
      </c>
      <c r="F7" s="6" t="n">
        <v>79.99</v>
      </c>
      <c r="G7" s="0" t="n">
        <v>2</v>
      </c>
      <c r="H7" s="6" t="n">
        <f aca="false">F7*G7</f>
        <v>159.98</v>
      </c>
      <c r="I7" s="6" t="n">
        <f aca="false">H7*0.36</f>
        <v>57.5928</v>
      </c>
      <c r="J7" s="6" t="n">
        <v>58</v>
      </c>
      <c r="K7" s="6" t="n">
        <v>220</v>
      </c>
    </row>
    <row r="8" customFormat="false" ht="15" hidden="false" customHeight="false" outlineLevel="0" collapsed="false">
      <c r="A8" s="0" t="s">
        <v>71</v>
      </c>
      <c r="B8" s="0" t="s">
        <v>72</v>
      </c>
      <c r="C8" s="0" t="s">
        <v>49</v>
      </c>
      <c r="D8" s="0" t="s">
        <v>58</v>
      </c>
      <c r="E8" s="0" t="s">
        <v>73</v>
      </c>
      <c r="F8" s="6" t="n">
        <v>149.99</v>
      </c>
      <c r="G8" s="0" t="n">
        <v>3</v>
      </c>
      <c r="H8" s="6" t="n">
        <f aca="false">F8*G8</f>
        <v>449.97</v>
      </c>
      <c r="I8" s="6" t="n">
        <f aca="false">H8*0.45</f>
        <v>202.4865</v>
      </c>
      <c r="J8" s="6" t="n">
        <v>202</v>
      </c>
      <c r="K8" s="6" t="n">
        <v>190</v>
      </c>
    </row>
    <row r="9" customFormat="false" ht="15" hidden="false" customHeight="false" outlineLevel="0" collapsed="false">
      <c r="A9" s="0" t="s">
        <v>74</v>
      </c>
      <c r="B9" s="0" t="s">
        <v>61</v>
      </c>
      <c r="C9" s="0" t="s">
        <v>62</v>
      </c>
      <c r="D9" s="0" t="s">
        <v>75</v>
      </c>
      <c r="E9" s="0" t="s">
        <v>76</v>
      </c>
      <c r="F9" s="6" t="n">
        <v>129.99</v>
      </c>
      <c r="G9" s="0" t="n">
        <v>1</v>
      </c>
      <c r="H9" s="6" t="n">
        <f aca="false">F9*G9</f>
        <v>129.99</v>
      </c>
      <c r="I9" s="6" t="n">
        <f aca="false">H9*0.39</f>
        <v>50.6961</v>
      </c>
      <c r="J9" s="6" t="n">
        <v>51</v>
      </c>
      <c r="K9" s="6" t="n">
        <v>180</v>
      </c>
    </row>
    <row r="10" customFormat="false" ht="15" hidden="false" customHeight="false" outlineLevel="0" collapsed="false">
      <c r="A10" s="0" t="s">
        <v>77</v>
      </c>
      <c r="B10" s="0" t="s">
        <v>78</v>
      </c>
      <c r="C10" s="0" t="s">
        <v>54</v>
      </c>
      <c r="D10" s="0" t="s">
        <v>55</v>
      </c>
      <c r="E10" s="0" t="s">
        <v>79</v>
      </c>
      <c r="F10" s="6" t="n">
        <v>49.99</v>
      </c>
      <c r="G10" s="0" t="n">
        <v>4</v>
      </c>
      <c r="H10" s="6" t="n">
        <f aca="false">F10*G10</f>
        <v>199.96</v>
      </c>
      <c r="I10" s="6" t="n">
        <f aca="false">H10*0.35</f>
        <v>69.986</v>
      </c>
      <c r="J10" s="6" t="n">
        <v>70</v>
      </c>
      <c r="K10" s="6" t="n">
        <v>250</v>
      </c>
    </row>
    <row r="11" customFormat="false" ht="15" hidden="false" customHeight="false" outlineLevel="0" collapsed="false">
      <c r="A11" s="0" t="s">
        <v>80</v>
      </c>
      <c r="B11" s="0" t="s">
        <v>48</v>
      </c>
      <c r="C11" s="0" t="s">
        <v>49</v>
      </c>
      <c r="D11" s="0" t="s">
        <v>50</v>
      </c>
      <c r="E11" s="0" t="s">
        <v>81</v>
      </c>
      <c r="F11" s="6" t="n">
        <v>299.99</v>
      </c>
      <c r="G11" s="0" t="n">
        <v>1</v>
      </c>
      <c r="H11" s="6" t="n">
        <f aca="false">F11*G11</f>
        <v>299.99</v>
      </c>
      <c r="I11" s="6" t="n">
        <f aca="false">H11*0.4</f>
        <v>119.996</v>
      </c>
      <c r="J11" s="6" t="n">
        <v>120</v>
      </c>
      <c r="K11" s="6" t="n">
        <v>150</v>
      </c>
    </row>
    <row r="12" customFormat="false" ht="15" hidden="false" customHeight="false" outlineLevel="0" collapsed="false">
      <c r="A12" s="0" t="s">
        <v>82</v>
      </c>
      <c r="B12" s="0" t="s">
        <v>83</v>
      </c>
      <c r="C12" s="0" t="s">
        <v>62</v>
      </c>
      <c r="D12" s="0" t="s">
        <v>84</v>
      </c>
      <c r="E12" s="0" t="s">
        <v>85</v>
      </c>
      <c r="F12" s="6" t="n">
        <v>199.99</v>
      </c>
      <c r="G12" s="0" t="n">
        <v>1</v>
      </c>
      <c r="H12" s="6" t="n">
        <f aca="false">F12*G12</f>
        <v>199.99</v>
      </c>
      <c r="I12" s="6" t="n">
        <f aca="false">H12*0.42</f>
        <v>83.9958</v>
      </c>
      <c r="J12" s="6" t="n">
        <v>84</v>
      </c>
      <c r="K12" s="6" t="n">
        <v>175</v>
      </c>
    </row>
    <row r="13" customFormat="false" ht="15" hidden="false" customHeight="false" outlineLevel="0" collapsed="false">
      <c r="A13" s="0" t="s">
        <v>86</v>
      </c>
      <c r="B13" s="0" t="s">
        <v>53</v>
      </c>
      <c r="C13" s="0" t="s">
        <v>49</v>
      </c>
      <c r="D13" s="0" t="s">
        <v>87</v>
      </c>
      <c r="E13" s="0" t="s">
        <v>88</v>
      </c>
      <c r="F13" s="6" t="n">
        <v>399.99</v>
      </c>
      <c r="G13" s="0" t="n">
        <v>1</v>
      </c>
      <c r="H13" s="6" t="n">
        <f aca="false">F13*G13</f>
        <v>399.99</v>
      </c>
      <c r="I13" s="6" t="n">
        <f aca="false">H13*0.43</f>
        <v>171.9957</v>
      </c>
      <c r="J13" s="6" t="n">
        <v>172</v>
      </c>
      <c r="K13" s="6" t="n">
        <v>200</v>
      </c>
    </row>
    <row r="14" customFormat="false" ht="15" hidden="false" customHeight="false" outlineLevel="0" collapsed="false">
      <c r="A14" s="0" t="s">
        <v>89</v>
      </c>
      <c r="B14" s="0" t="s">
        <v>90</v>
      </c>
      <c r="C14" s="0" t="s">
        <v>54</v>
      </c>
      <c r="D14" s="0" t="s">
        <v>55</v>
      </c>
      <c r="E14" s="0" t="s">
        <v>91</v>
      </c>
      <c r="F14" s="6" t="n">
        <v>49.99</v>
      </c>
      <c r="G14" s="0" t="n">
        <v>2</v>
      </c>
      <c r="H14" s="6" t="n">
        <f aca="false">F14*G14</f>
        <v>99.98</v>
      </c>
      <c r="I14" s="6" t="n">
        <f aca="false">H14*0.35</f>
        <v>34.993</v>
      </c>
      <c r="J14" s="6" t="n">
        <v>35</v>
      </c>
      <c r="K14" s="6" t="n">
        <v>230</v>
      </c>
    </row>
    <row r="15" customFormat="false" ht="15" hidden="false" customHeight="false" outlineLevel="0" collapsed="false">
      <c r="A15" s="0" t="s">
        <v>92</v>
      </c>
      <c r="B15" s="0" t="s">
        <v>68</v>
      </c>
      <c r="C15" s="0" t="s">
        <v>49</v>
      </c>
      <c r="D15" s="0" t="s">
        <v>50</v>
      </c>
      <c r="E15" s="0" t="s">
        <v>93</v>
      </c>
      <c r="F15" s="6" t="n">
        <v>299.99</v>
      </c>
      <c r="G15" s="0" t="n">
        <v>2</v>
      </c>
      <c r="H15" s="6" t="n">
        <f aca="false">F15*G15</f>
        <v>599.98</v>
      </c>
      <c r="I15" s="6" t="n">
        <f aca="false">H15*0.4</f>
        <v>239.992</v>
      </c>
      <c r="J15" s="6" t="n">
        <v>240</v>
      </c>
      <c r="K15" s="6" t="n">
        <v>220</v>
      </c>
    </row>
    <row r="16" customFormat="false" ht="15" hidden="false" customHeight="false" outlineLevel="0" collapsed="false">
      <c r="A16" s="0" t="s">
        <v>94</v>
      </c>
      <c r="B16" s="0" t="s">
        <v>95</v>
      </c>
      <c r="C16" s="0" t="s">
        <v>62</v>
      </c>
      <c r="D16" s="0" t="s">
        <v>63</v>
      </c>
      <c r="E16" s="0" t="s">
        <v>96</v>
      </c>
      <c r="F16" s="6" t="n">
        <v>89.99</v>
      </c>
      <c r="G16" s="0" t="n">
        <v>3</v>
      </c>
      <c r="H16" s="6" t="n">
        <f aca="false">F16*G16</f>
        <v>269.97</v>
      </c>
      <c r="I16" s="6" t="n">
        <f aca="false">H16*0.38</f>
        <v>102.5886</v>
      </c>
      <c r="J16" s="6" t="n">
        <v>103</v>
      </c>
      <c r="K16" s="6" t="n">
        <v>195</v>
      </c>
    </row>
    <row r="20" customFormat="false" ht="15" hidden="false" customHeight="false" outlineLevel="0" collapsed="false">
      <c r="A20" s="7" t="s">
        <v>97</v>
      </c>
    </row>
    <row r="22" customFormat="false" ht="15" hidden="false" customHeight="false" outlineLevel="0" collapsed="false">
      <c r="A22" s="8" t="s">
        <v>98</v>
      </c>
      <c r="B22" s="8" t="s">
        <v>99</v>
      </c>
      <c r="C22" s="8" t="s">
        <v>100</v>
      </c>
    </row>
    <row r="23" customFormat="false" ht="15" hidden="false" customHeight="false" outlineLevel="0" collapsed="false">
      <c r="A23" s="9" t="s">
        <v>101</v>
      </c>
      <c r="B23" s="10" t="s">
        <v>102</v>
      </c>
      <c r="C23" s="11" t="n">
        <f aca="false">AVERAGE(H2:H16)*COUNTIF(B2:B16,"CUST001")</f>
        <v>837.942</v>
      </c>
    </row>
    <row r="24" customFormat="false" ht="15" hidden="false" customHeight="false" outlineLevel="0" collapsed="false">
      <c r="A24" s="9" t="s">
        <v>103</v>
      </c>
      <c r="B24" s="10" t="s">
        <v>104</v>
      </c>
      <c r="C24" s="11" t="n">
        <f aca="false">(SUM(H12:H16)-SUM(H2:H11))/SUM(H2:H11)</f>
        <v>-0.400751965798916</v>
      </c>
    </row>
    <row r="25" customFormat="false" ht="15" hidden="false" customHeight="false" outlineLevel="0" collapsed="false">
      <c r="A25" s="9" t="s">
        <v>105</v>
      </c>
      <c r="B25" s="10" t="s">
        <v>106</v>
      </c>
      <c r="C25" s="11" t="n">
        <f aca="false">SUMIF(C2:C16,"Electronics",H2:H16)/SUM(H2:H16)</f>
        <v>0.668277756694378</v>
      </c>
    </row>
    <row r="26" customFormat="false" ht="15" hidden="false" customHeight="false" outlineLevel="0" collapsed="false">
      <c r="A26" s="9" t="s">
        <v>107</v>
      </c>
      <c r="B26" s="10" t="s">
        <v>108</v>
      </c>
      <c r="C26" s="11" t="n">
        <f aca="false">CORREL(F2:F16,G2:G16)</f>
        <v>-0.587154672692672</v>
      </c>
    </row>
    <row r="27" customFormat="false" ht="15" hidden="false" customHeight="false" outlineLevel="0" collapsed="false">
      <c r="A27" s="9" t="s">
        <v>109</v>
      </c>
      <c r="B27" s="10" t="s">
        <v>110</v>
      </c>
      <c r="C27" s="11" t="n">
        <f aca="false">SUMPRODUCT((H2:H16-I2:I16)/H2:H16)/COUNT(H2:H16)</f>
        <v>0.606</v>
      </c>
    </row>
    <row r="28" customFormat="false" ht="15" hidden="false" customHeight="false" outlineLevel="0" collapsed="false">
      <c r="A28" s="9" t="s">
        <v>111</v>
      </c>
      <c r="B28" s="10" t="s">
        <v>112</v>
      </c>
      <c r="C28" s="11" t="n">
        <f aca="false">SUM(J2:J16)/AVERAGE(J2:J16)</f>
        <v>15</v>
      </c>
    </row>
    <row r="29" customFormat="false" ht="15" hidden="false" customHeight="false" outlineLevel="0" collapsed="false">
      <c r="A29" s="9" t="s">
        <v>113</v>
      </c>
      <c r="B29" s="10" t="s">
        <v>114</v>
      </c>
      <c r="C29" s="11" t="n">
        <f aca="false">COUNTIF(C2:C16,"Electronics")/COUNTA(C2:C16)</f>
        <v>0.466666666666667</v>
      </c>
    </row>
    <row r="30" customFormat="false" ht="15" hidden="false" customHeight="false" outlineLevel="0" collapsed="false">
      <c r="A30" s="9" t="s">
        <v>115</v>
      </c>
      <c r="B30" s="10" t="s">
        <v>116</v>
      </c>
      <c r="C30" s="11" t="n">
        <f aca="false">SUM(H2:H16)/COUNTA(A2:A16)</f>
        <v>279.314</v>
      </c>
    </row>
    <row r="31" customFormat="false" ht="15" hidden="false" customHeight="false" outlineLevel="0" collapsed="false">
      <c r="A31" s="9" t="s">
        <v>117</v>
      </c>
      <c r="B31" s="10" t="s">
        <v>118</v>
      </c>
      <c r="C31" s="11" t="n">
        <f aca="false">SUM(H2:H16)/SUM(K2:K16)</f>
        <v>1.44972664359862</v>
      </c>
    </row>
    <row r="32" customFormat="false" ht="15" hidden="false" customHeight="false" outlineLevel="0" collapsed="false">
      <c r="A32" s="9" t="s">
        <v>119</v>
      </c>
      <c r="B32" s="10" t="s">
        <v>120</v>
      </c>
      <c r="C32" s="11" t="n">
        <f aca="false">(SUM(H12:H16)/(SUM(H2:H16)/2))*12</f>
        <v>8.99294700587869</v>
      </c>
    </row>
    <row r="34" customFormat="false" ht="15" hidden="false" customHeight="false" outlineLevel="0" collapsed="false">
      <c r="A34" s="12" t="s">
        <v>121</v>
      </c>
      <c r="B34" s="12"/>
      <c r="C34" s="12"/>
    </row>
    <row r="35" customFormat="false" ht="15" hidden="false" customHeight="true" outlineLevel="0" collapsed="false">
      <c r="A35" s="13" t="s">
        <v>122</v>
      </c>
      <c r="B35" s="13"/>
      <c r="C35" s="13"/>
    </row>
    <row r="36" customFormat="false" ht="15" hidden="false" customHeight="true" outlineLevel="0" collapsed="false">
      <c r="A36" s="13" t="s">
        <v>123</v>
      </c>
      <c r="B36" s="13"/>
      <c r="C36" s="13"/>
    </row>
    <row r="37" customFormat="false" ht="15" hidden="false" customHeight="true" outlineLevel="0" collapsed="false">
      <c r="A37" s="13" t="s">
        <v>124</v>
      </c>
      <c r="B37" s="13"/>
      <c r="C37" s="13"/>
    </row>
    <row r="38" customFormat="false" ht="15" hidden="false" customHeight="true" outlineLevel="0" collapsed="false">
      <c r="A38" s="13" t="s">
        <v>125</v>
      </c>
      <c r="B38" s="13"/>
      <c r="C38" s="13"/>
    </row>
    <row r="39" customFormat="false" ht="15" hidden="false" customHeight="true" outlineLevel="0" collapsed="false">
      <c r="A39" s="13" t="s">
        <v>126</v>
      </c>
      <c r="B39" s="13"/>
      <c r="C39" s="13"/>
    </row>
  </sheetData>
  <mergeCells count="6">
    <mergeCell ref="A34:C34"/>
    <mergeCell ref="A35:C35"/>
    <mergeCell ref="A36:C36"/>
    <mergeCell ref="A37:C37"/>
    <mergeCell ref="A38:C38"/>
    <mergeCell ref="A39:C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2026-02-14T18:00:31Z</dcterms:created>
  <dc:creator>openpyxl</dc:creator>
  <dc:description/>
  <dc:language>en-US</dc:language>
  <cp:lastModifiedBy/>
  <dcterms:modified xsi:type="dcterms:W3CDTF">2026-02-14T18:00:31Z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